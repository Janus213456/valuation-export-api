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nus\Desktop\valuation-export-api\"/>
    </mc:Choice>
  </mc:AlternateContent>
  <xr:revisionPtr revIDLastSave="0" documentId="13_ncr:1_{4A514EB1-6F07-4820-89CD-DE02DEE67EE0}" xr6:coauthVersionLast="47" xr6:coauthVersionMax="47" xr10:uidLastSave="{00000000-0000-0000-0000-000000000000}"/>
  <bookViews>
    <workbookView xWindow="-110" yWindow="-110" windowWidth="19420" windowHeight="11500" xr2:uid="{00000000-000D-0000-FFFF-FFFF00000000}"/>
  </bookViews>
  <sheets>
    <sheet name="Sheet5" sheetId="1" r:id="rId1"/>
  </sheets>
  <definedNames>
    <definedName name="_xlnm.Print_Area" localSheetId="0">Sheet5!$A$1:$K$37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8" i="1" l="1"/>
  <c r="K27" i="1"/>
  <c r="K22" i="1"/>
  <c r="D21" i="1"/>
  <c r="K21" i="1"/>
  <c r="K18" i="1"/>
  <c r="K11" i="1"/>
  <c r="K37" i="1"/>
  <c r="D36" i="1"/>
  <c r="D35" i="1"/>
  <c r="D34" i="1"/>
  <c r="M17" i="1"/>
  <c r="M16" i="1"/>
  <c r="M15" i="1"/>
  <c r="M10" i="1"/>
  <c r="M9" i="1"/>
  <c r="M8" i="1"/>
  <c r="K23" i="1" l="1"/>
  <c r="K29" i="1" l="1"/>
  <c r="K30" i="1" s="1"/>
</calcChain>
</file>

<file path=xl/sharedStrings.xml><?xml version="1.0" encoding="utf-8"?>
<sst xmlns="http://schemas.openxmlformats.org/spreadsheetml/2006/main" count="50" uniqueCount="32">
  <si>
    <t>MARKET VALUATION</t>
  </si>
  <si>
    <t>Although it is not for us to dictate prices - the actual value of any property ultimately, being that which a willing and able buyer is prepared to pay at given time - following a search on LIGHTSTONE and PROPERTY24, property values in your suburb and our research pertaining to asking prices and sales transactions, both past and present, we calculate your property value as follows;</t>
  </si>
  <si>
    <t>ADDRESS:</t>
  </si>
  <si>
    <t>01 - SOLD PROPERTIES IN STREET, COMPLEX OR ESTATE</t>
  </si>
  <si>
    <t>SUBURB</t>
  </si>
  <si>
    <t>#</t>
  </si>
  <si>
    <t>STREET or COMPLEX</t>
  </si>
  <si>
    <t>Roof m2</t>
  </si>
  <si>
    <t>Erf m2</t>
  </si>
  <si>
    <t>SALE DATE</t>
  </si>
  <si>
    <t>BED</t>
  </si>
  <si>
    <t>BATH</t>
  </si>
  <si>
    <t>GARAGE</t>
  </si>
  <si>
    <t>PRICE</t>
  </si>
  <si>
    <t>AVERAGE:</t>
  </si>
  <si>
    <t>02 - SOLD PROPERTIES IN SUBURB AND SURROUNDING AREA</t>
  </si>
  <si>
    <t xml:space="preserve"> </t>
  </si>
  <si>
    <t>03 - SOLD LAND IN SUBURB AND SURROUNDING AREA - AVERAGE ERF PER SQUARE METER</t>
  </si>
  <si>
    <t>Average Sold Square Meter</t>
  </si>
  <si>
    <t>Average Sold Price</t>
  </si>
  <si>
    <t>Your Property Square Meter</t>
  </si>
  <si>
    <t>Average Cost per Square Meter</t>
  </si>
  <si>
    <t>Proposed Price Calculated per Square Meter</t>
  </si>
  <si>
    <t>Taking the market analysis and the condition of the property in to account, 
I would recommend the following price for this property.</t>
  </si>
  <si>
    <t>Quick Sale (45 - 60 Days)</t>
  </si>
  <si>
    <t>Proposed Listing Price</t>
  </si>
  <si>
    <t>Commision</t>
  </si>
  <si>
    <t>Owner Gets</t>
  </si>
  <si>
    <t>CURRENT PROPERTIES ON MARKET SIMILAR TO YOURS</t>
  </si>
  <si>
    <t>Average price per 2m</t>
  </si>
  <si>
    <t>SIZE</t>
  </si>
  <si>
    <t>Days on the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</si>
</sst>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R&quot;* #,##0_-;\-&quot;R&quot;* #,##0_-;_-&quot;R&quot;* &quot;-&quot;_-;_-@_-"/>
    <numFmt numFmtId="44" formatCode="_-&quot;R&quot;* #,##0.00_-;\-&quot;R&quot;* #,##0.00_-;_-&quot;R&quot;* &quot;-&quot;??_-;_-@_-"/>
    <numFmt numFmtId="164" formatCode="yyyy\-mm\-dd;@"/>
    <numFmt numFmtId="165" formatCode="_-&quot;R&quot;* #,##0_-;\-&quot;R&quot;* #,##0_-;_-&quot;R&quot;* &quot;-&quot;??_-;_-@_-"/>
    <numFmt numFmtId="166" formatCode="_-&quot;R&quot;* #,##0.00_-;\-&quot;R&quot;* #,##0.00_-;_-&quot;R&quot;* &quot;-&quot;_-;_-@_-"/>
  </numFmts>
  <fonts count="1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1"/>
      <color rgb="FFFF0000"/>
      <name val="Calibri"/>
      <family val="2"/>
      <scheme val="minor"/>
    </font>
    <font>
      <b/>
      <sz val="11"/>
      <color rgb="FF00B0F0"/>
      <name val="Calibri"/>
      <family val="2"/>
      <scheme val="minor"/>
    </font>
    <font>
      <b/>
      <sz val="11"/>
      <color theme="0"/>
      <name val="Calibri"/>
      <family val="2"/>
      <scheme val="minor"/>
    </font>
    <font>
      <b/>
      <sz val="18"/>
      <color theme="0"/>
      <name val="Calibri"/>
      <family val="2"/>
      <scheme val="minor"/>
    </font>
    <font>
      <b/>
      <sz val="11"/>
      <color rgb="FFFFC000"/>
      <name val="Calibri"/>
      <family val="2"/>
      <scheme val="minor"/>
    </font>
    <font>
      <sz val="11"/>
      <color theme="1"/>
      <name val="Calibri"/>
      <family val="2"/>
      <scheme val="minor"/>
    </font>
    <font>
      <b/>
      <sz val="11"/>
      <color rgb="FF92D05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00B0F0"/>
        <bgColor indexed="64"/>
      </patternFill>
    </fill>
    <fill>
      <patternFill patternType="solid">
        <fgColor rgb="FF0070C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9" fillId="0" borderId="0"/>
  </cellStyleXfs>
  <cellXfs count="57">
    <xf numFmtId="0" fontId="0" fillId="0" borderId="0" xfId="0"/>
    <xf numFmtId="0" fontId="1" fillId="0" borderId="0" xfId="0" applyFont="1"/>
    <xf numFmtId="0" fontId="1" fillId="2" borderId="1" xfId="0" applyFont="1" applyFill="1" applyBorder="1" applyAlignment="1">
      <alignment horizontal="center" wrapText="1"/>
    </xf>
    <xf numFmtId="0" fontId="0" fillId="0" borderId="1" xfId="0" applyBorder="1"/>
    <xf numFmtId="164" fontId="1" fillId="2" borderId="1" xfId="0" applyNumberFormat="1" applyFont="1" applyFill="1" applyBorder="1" applyAlignment="1">
      <alignment horizontal="center" wrapText="1"/>
    </xf>
    <xf numFmtId="3" fontId="1" fillId="2" borderId="1" xfId="0" applyNumberFormat="1" applyFont="1" applyFill="1" applyBorder="1" applyAlignment="1">
      <alignment horizontal="center" wrapText="1"/>
    </xf>
    <xf numFmtId="0" fontId="0" fillId="0" borderId="0" xfId="0" applyAlignment="1">
      <alignment horizontal="right"/>
    </xf>
    <xf numFmtId="0" fontId="1" fillId="2" borderId="1" xfId="0" applyFont="1" applyFill="1" applyBorder="1" applyAlignment="1">
      <alignment horizontal="center" textRotation="90" wrapText="1"/>
    </xf>
    <xf numFmtId="0" fontId="1" fillId="0" borderId="0" xfId="0" applyFont="1" applyAlignment="1">
      <alignment horizontal="right"/>
    </xf>
    <xf numFmtId="0" fontId="3" fillId="0" borderId="0" xfId="0" applyFont="1"/>
    <xf numFmtId="0" fontId="2" fillId="0" borderId="0" xfId="0" applyFont="1" applyAlignment="1">
      <alignment horizontal="right"/>
    </xf>
    <xf numFmtId="0" fontId="3" fillId="0" borderId="0" xfId="0" applyFont="1" applyAlignment="1">
      <alignment horizontal="right"/>
    </xf>
    <xf numFmtId="3" fontId="3" fillId="0" borderId="0" xfId="0" applyNumberFormat="1" applyFont="1"/>
    <xf numFmtId="165" fontId="3" fillId="0" borderId="0" xfId="0" applyNumberFormat="1" applyFont="1"/>
    <xf numFmtId="44" fontId="0" fillId="0" borderId="0" xfId="0" applyNumberFormat="1"/>
    <xf numFmtId="42" fontId="2" fillId="2" borderId="1" xfId="0" applyNumberFormat="1" applyFont="1" applyFill="1" applyBorder="1" applyAlignment="1">
      <alignment horizontal="center" wrapText="1"/>
    </xf>
    <xf numFmtId="42" fontId="2" fillId="0" borderId="0" xfId="0" applyNumberFormat="1" applyFont="1"/>
    <xf numFmtId="0" fontId="0" fillId="0" borderId="1" xfId="0" applyBorder="1" applyAlignment="1">
      <alignment horizontal="center"/>
    </xf>
    <xf numFmtId="3" fontId="0" fillId="0" borderId="1" xfId="0" applyNumberFormat="1"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44" fontId="0" fillId="0" borderId="1" xfId="0" applyNumberFormat="1" applyBorder="1"/>
    <xf numFmtId="3" fontId="3" fillId="0" borderId="0" xfId="0" applyNumberFormat="1" applyFont="1" applyAlignment="1">
      <alignment horizontal="left"/>
    </xf>
    <xf numFmtId="44" fontId="3" fillId="0" borderId="0" xfId="0" applyNumberFormat="1" applyFont="1"/>
    <xf numFmtId="0" fontId="1" fillId="0" borderId="0" xfId="0" applyFont="1" applyAlignment="1">
      <alignment wrapText="1"/>
    </xf>
    <xf numFmtId="0" fontId="1" fillId="2" borderId="1" xfId="0" applyFont="1" applyFill="1" applyBorder="1" applyAlignment="1">
      <alignment horizontal="right" vertical="center"/>
    </xf>
    <xf numFmtId="166" fontId="3" fillId="0" borderId="1" xfId="0" applyNumberFormat="1" applyFont="1" applyBorder="1"/>
    <xf numFmtId="166" fontId="8" fillId="0" borderId="1" xfId="0" applyNumberFormat="1" applyFont="1" applyBorder="1"/>
    <xf numFmtId="166" fontId="4" fillId="0" borderId="1" xfId="0" applyNumberFormat="1" applyFont="1" applyBorder="1"/>
    <xf numFmtId="166" fontId="3" fillId="0" borderId="0" xfId="0" applyNumberFormat="1" applyFont="1"/>
    <xf numFmtId="44" fontId="10" fillId="0" borderId="0" xfId="0" applyNumberFormat="1" applyFont="1"/>
    <xf numFmtId="44" fontId="2" fillId="0" borderId="0" xfId="0" applyNumberFormat="1" applyFont="1"/>
    <xf numFmtId="10" fontId="0" fillId="0" borderId="0" xfId="1" applyNumberFormat="1" applyFont="1"/>
    <xf numFmtId="166" fontId="5" fillId="0" borderId="5" xfId="0" applyNumberFormat="1" applyFont="1" applyBorder="1"/>
    <xf numFmtId="164" fontId="3" fillId="0" borderId="0" xfId="0" applyNumberFormat="1" applyFont="1"/>
    <xf numFmtId="164" fontId="0" fillId="0" borderId="0" xfId="0" applyNumberFormat="1"/>
    <xf numFmtId="3" fontId="1" fillId="2" borderId="2" xfId="0" applyNumberFormat="1" applyFont="1" applyFill="1" applyBorder="1" applyAlignment="1">
      <alignment horizontal="center" wrapText="1"/>
    </xf>
    <xf numFmtId="9" fontId="0" fillId="0" borderId="0" xfId="0" applyNumberFormat="1"/>
    <xf numFmtId="0" fontId="0" fillId="0" borderId="0" xfId="0" applyAlignment="1">
      <alignment horizontal="right" wrapText="1"/>
    </xf>
    <xf numFmtId="0" fontId="0" fillId="0" borderId="0" xfId="0"/>
    <xf numFmtId="164" fontId="0" fillId="0" borderId="0" xfId="0" applyNumberFormat="1"/>
    <xf numFmtId="0" fontId="3" fillId="0" borderId="0" xfId="0" applyFont="1"/>
    <xf numFmtId="0" fontId="1" fillId="0" borderId="1" xfId="0" applyFont="1" applyBorder="1" applyAlignment="1">
      <alignment horizontal="right"/>
    </xf>
    <xf numFmtId="0" fontId="0" fillId="0" borderId="3" xfId="0" applyBorder="1"/>
    <xf numFmtId="0" fontId="0" fillId="0" borderId="4" xfId="0" applyBorder="1"/>
    <xf numFmtId="0" fontId="1" fillId="0" borderId="0" xfId="0" applyFont="1" applyAlignment="1">
      <alignment horizontal="center" wrapText="1"/>
    </xf>
    <xf numFmtId="164" fontId="1" fillId="2" borderId="1" xfId="0" applyNumberFormat="1" applyFont="1" applyFill="1" applyBorder="1" applyAlignment="1">
      <alignment horizontal="center" wrapText="1"/>
    </xf>
    <xf numFmtId="3" fontId="0" fillId="0" borderId="1" xfId="0" applyNumberFormat="1" applyBorder="1" applyAlignment="1">
      <alignment horizontal="center"/>
    </xf>
    <xf numFmtId="0" fontId="6" fillId="3" borderId="1" xfId="0" applyFont="1" applyFill="1" applyBorder="1" applyAlignment="1">
      <alignment horizontal="center"/>
    </xf>
    <xf numFmtId="0" fontId="7" fillId="4" borderId="1" xfId="0" applyFont="1" applyFill="1" applyBorder="1" applyAlignment="1">
      <alignment horizontal="center"/>
    </xf>
    <xf numFmtId="0" fontId="6" fillId="5" borderId="1" xfId="0" applyFont="1" applyFill="1" applyBorder="1" applyAlignment="1">
      <alignment horizontal="center"/>
    </xf>
    <xf numFmtId="0" fontId="6" fillId="7" borderId="1" xfId="0" applyFont="1" applyFill="1" applyBorder="1" applyAlignment="1">
      <alignment horizontal="center"/>
    </xf>
    <xf numFmtId="0" fontId="6" fillId="6" borderId="1" xfId="0" applyFont="1" applyFill="1" applyBorder="1" applyAlignment="1">
      <alignment horizontal="center"/>
    </xf>
    <xf numFmtId="0" fontId="1" fillId="0" borderId="1" xfId="0" applyFont="1" applyBorder="1" applyAlignment="1">
      <alignment horizontal="center"/>
    </xf>
    <xf numFmtId="0" fontId="2" fillId="0" borderId="0" xfId="0" applyNumberFormat="1" applyFont="1"/>
  </cellXfs>
  <cellStyles count="2">
    <cellStyle name="Normal" xfId="0" builtinId="0"/>
    <cellStyle name="Percent" xfId="1" builtinId="5"/>
  </cellStyles>
  <dxfs count="4">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37"/>
  <sheetViews>
    <sheetView tabSelected="1" topLeftCell="A16" zoomScale="90" zoomScaleNormal="90" workbookViewId="0">
      <selection activeCell="K29" sqref="K29"/>
    </sheetView>
  </sheetViews>
  <sheetFormatPr defaultColWidth="9.1796875" defaultRowHeight="14.5" x14ac:dyDescent="0.35"/>
  <cols>
    <col min="1" max="1" width="1.81640625" customWidth="1"/>
    <col min="2" max="2" width="25.81640625" customWidth="1"/>
    <col min="3" max="3" width="6.81640625" customWidth="1"/>
    <col min="4" max="4" width="24.81640625" customWidth="1"/>
    <col min="5" max="6" width="8.81640625" customWidth="1"/>
    <col min="7" max="7" width="11.1796875" style="37" bestFit="1" customWidth="1"/>
    <col min="8" max="10" width="6.81640625" customWidth="1"/>
    <col min="11" max="11" width="15.81640625" style="9" customWidth="1"/>
    <col min="13" max="13" width="11.1796875" bestFit="1" customWidth="1"/>
  </cols>
  <sheetData>
    <row r="1" spans="2:13" ht="23.4" customHeight="1" x14ac:dyDescent="0.55000000000000004">
      <c r="B1" s="51" t="s">
        <v>0</v>
      </c>
      <c r="C1" s="45"/>
      <c r="D1" s="45"/>
      <c r="E1" s="45"/>
      <c r="F1" s="45"/>
      <c r="G1" s="45"/>
      <c r="H1" s="45"/>
      <c r="I1" s="45"/>
      <c r="J1" s="45"/>
      <c r="K1" s="46"/>
    </row>
    <row r="2" spans="2:13" ht="45" customHeight="1" x14ac:dyDescent="0.35">
      <c r="B2" s="47" t="s">
        <v>1</v>
      </c>
      <c r="C2" s="41"/>
      <c r="D2" s="41"/>
      <c r="E2" s="41"/>
      <c r="F2" s="41"/>
      <c r="G2" s="42"/>
      <c r="H2" s="41"/>
      <c r="I2" s="41"/>
      <c r="J2" s="41"/>
      <c r="K2" s="43"/>
    </row>
    <row r="4" spans="2:13" x14ac:dyDescent="0.35">
      <c r="B4" s="27" t="s">
        <v>2</v>
      </c>
      <c r="C4" s="55"/>
      <c r="D4" s="45"/>
      <c r="E4" s="45"/>
      <c r="F4" s="45"/>
      <c r="G4" s="45"/>
      <c r="H4" s="45"/>
      <c r="I4" s="45"/>
      <c r="J4" s="45"/>
      <c r="K4" s="46"/>
    </row>
    <row r="6" spans="2:13" s="1" customFormat="1" x14ac:dyDescent="0.35">
      <c r="B6" s="54" t="s">
        <v>3</v>
      </c>
      <c r="C6" s="45"/>
      <c r="D6" s="45"/>
      <c r="E6" s="45"/>
      <c r="F6" s="45"/>
      <c r="G6" s="45"/>
      <c r="H6" s="45"/>
      <c r="I6" s="45"/>
      <c r="J6" s="45"/>
      <c r="K6" s="46"/>
    </row>
    <row r="7" spans="2:13" ht="30" customHeight="1" x14ac:dyDescent="0.35">
      <c r="B7" s="2" t="s">
        <v>4</v>
      </c>
      <c r="C7" s="2" t="s">
        <v>5</v>
      </c>
      <c r="D7" s="2" t="s">
        <v>6</v>
      </c>
      <c r="E7" s="38" t="s">
        <v>7</v>
      </c>
      <c r="F7" s="38" t="s">
        <v>8</v>
      </c>
      <c r="G7" s="4" t="s">
        <v>9</v>
      </c>
      <c r="H7" s="7" t="s">
        <v>10</v>
      </c>
      <c r="I7" s="7" t="s">
        <v>11</v>
      </c>
      <c r="J7" s="7" t="s">
        <v>12</v>
      </c>
      <c r="K7" s="15" t="s">
        <v>13</v>
      </c>
    </row>
    <row r="8" spans="2:13" x14ac:dyDescent="0.35">
      <c r="B8" s="3"/>
      <c r="C8" s="17"/>
      <c r="D8" s="3"/>
      <c r="E8" s="18"/>
      <c r="F8" s="18"/>
      <c r="G8" s="19"/>
      <c r="H8" s="17"/>
      <c r="I8" s="17"/>
      <c r="J8" s="17"/>
      <c r="K8" s="28"/>
      <c r="M8" s="14" t="str">
        <f>IF(AND(ISNUMBER(K8), ISNUMBER(E8), E8&lt;&gt;0), K8/E8, "")</f>
        <v/>
      </c>
    </row>
    <row r="9" spans="2:13" x14ac:dyDescent="0.35">
      <c r="B9" s="3"/>
      <c r="C9" s="17"/>
      <c r="D9" s="3"/>
      <c r="E9" s="18"/>
      <c r="F9" s="18"/>
      <c r="G9" s="19"/>
      <c r="H9" s="17"/>
      <c r="I9" s="17"/>
      <c r="J9" s="17"/>
      <c r="K9" s="28"/>
      <c r="M9" s="14" t="str">
        <f>IF(AND(ISNUMBER(K9), ISNUMBER(E9), E9&lt;&gt;0), K9/E9, "")</f>
        <v/>
      </c>
    </row>
    <row r="10" spans="2:13" x14ac:dyDescent="0.35">
      <c r="B10" s="3"/>
      <c r="C10" s="17"/>
      <c r="D10" s="3"/>
      <c r="E10" s="18"/>
      <c r="F10" s="18"/>
      <c r="G10" s="19"/>
      <c r="H10" s="17"/>
      <c r="I10" s="17"/>
      <c r="J10" s="17"/>
      <c r="K10" s="28"/>
      <c r="M10" s="14" t="str">
        <f>IF(AND(ISNUMBER(K10), ISNUMBER(E10), E10&lt;&gt;0), K10/E10, "")</f>
        <v/>
      </c>
    </row>
    <row r="11" spans="2:13" x14ac:dyDescent="0.35">
      <c r="C11" s="20"/>
      <c r="E11" s="21"/>
      <c r="F11" s="21"/>
      <c r="G11" s="22"/>
      <c r="H11" s="44" t="s">
        <v>14</v>
      </c>
      <c r="I11" s="45"/>
      <c r="J11" s="46"/>
      <c r="K11" s="30" t="str">
        <f>IF(COUNT(K8:K10)=0,"",AVERAGE(K8:K10))</f>
        <v/>
      </c>
    </row>
    <row r="12" spans="2:13" x14ac:dyDescent="0.35">
      <c r="C12" s="20"/>
      <c r="E12" s="21"/>
      <c r="F12" s="21"/>
      <c r="G12" s="22"/>
      <c r="H12" s="20"/>
      <c r="I12" s="20"/>
      <c r="J12" s="20"/>
      <c r="K12" s="16"/>
    </row>
    <row r="13" spans="2:13" s="1" customFormat="1" x14ac:dyDescent="0.35">
      <c r="B13" s="52" t="s">
        <v>15</v>
      </c>
      <c r="C13" s="45"/>
      <c r="D13" s="45"/>
      <c r="E13" s="45"/>
      <c r="F13" s="45"/>
      <c r="G13" s="45"/>
      <c r="H13" s="45"/>
      <c r="I13" s="45"/>
      <c r="J13" s="45"/>
      <c r="K13" s="46"/>
    </row>
    <row r="14" spans="2:13" ht="30" customHeight="1" x14ac:dyDescent="0.35">
      <c r="B14" s="2" t="s">
        <v>4</v>
      </c>
      <c r="C14" s="2" t="s">
        <v>5</v>
      </c>
      <c r="D14" s="2" t="s">
        <v>6</v>
      </c>
      <c r="E14" s="38" t="s">
        <v>7</v>
      </c>
      <c r="F14" s="38" t="s">
        <v>8</v>
      </c>
      <c r="G14" s="4" t="s">
        <v>9</v>
      </c>
      <c r="H14" s="7" t="s">
        <v>10</v>
      </c>
      <c r="I14" s="7" t="s">
        <v>11</v>
      </c>
      <c r="J14" s="7" t="s">
        <v>12</v>
      </c>
      <c r="K14" s="15" t="s">
        <v>13</v>
      </c>
    </row>
    <row r="15" spans="2:13" x14ac:dyDescent="0.35">
      <c r="B15" s="3"/>
      <c r="C15" s="17"/>
      <c r="D15" s="3"/>
      <c r="E15" s="18"/>
      <c r="F15" s="18"/>
      <c r="G15" s="19"/>
      <c r="H15" s="17"/>
      <c r="I15" s="17"/>
      <c r="J15" s="17"/>
      <c r="K15" s="28"/>
      <c r="M15" s="14" t="str">
        <f>IF(AND(ISNUMBER(K15), ISNUMBER(E15), E15&lt;&gt;0), K15/E15, "")</f>
        <v/>
      </c>
    </row>
    <row r="16" spans="2:13" x14ac:dyDescent="0.35">
      <c r="B16" s="3"/>
      <c r="C16" s="17"/>
      <c r="D16" s="3"/>
      <c r="E16" s="18"/>
      <c r="F16" s="18"/>
      <c r="G16" s="19"/>
      <c r="H16" s="17"/>
      <c r="I16" s="17"/>
      <c r="J16" s="17"/>
      <c r="K16" s="28"/>
      <c r="M16" s="14" t="str">
        <f>IF(AND(ISNUMBER(K16), ISNUMBER(E16), E16&lt;&gt;0), K16/E16, "")</f>
        <v/>
      </c>
    </row>
    <row r="17" spans="2:14" x14ac:dyDescent="0.35">
      <c r="B17" s="3"/>
      <c r="C17" s="17"/>
      <c r="D17" s="3"/>
      <c r="E17" s="18"/>
      <c r="F17" s="18"/>
      <c r="G17" s="19"/>
      <c r="H17" s="17"/>
      <c r="I17" s="17"/>
      <c r="J17" s="17"/>
      <c r="K17" s="28"/>
      <c r="M17" s="14" t="str">
        <f>IF(AND(ISNUMBER(K17), ISNUMBER(E17), E17&lt;&gt;0), K17/E17, "")</f>
        <v/>
      </c>
    </row>
    <row r="18" spans="2:14" x14ac:dyDescent="0.35">
      <c r="C18" s="20"/>
      <c r="E18" s="21"/>
      <c r="F18" s="21"/>
      <c r="G18" s="22"/>
      <c r="H18" s="44" t="s">
        <v>14</v>
      </c>
      <c r="I18" s="45"/>
      <c r="J18" s="46"/>
      <c r="K18" s="29" t="str">
        <f>IF(COUNT(K15:K17)=0,"",AVERAGE(K15:K17))</f>
        <v/>
      </c>
    </row>
    <row r="19" spans="2:14" x14ac:dyDescent="0.35">
      <c r="C19" s="20"/>
      <c r="E19" s="21"/>
      <c r="F19" s="21"/>
      <c r="G19" s="22"/>
      <c r="H19" s="20"/>
      <c r="I19" s="20"/>
      <c r="J19" s="20"/>
      <c r="K19" s="16"/>
      <c r="N19" t="s">
        <v>16</v>
      </c>
    </row>
    <row r="20" spans="2:14" s="1" customFormat="1" x14ac:dyDescent="0.35">
      <c r="B20" s="53" t="s">
        <v>17</v>
      </c>
      <c r="C20" s="45"/>
      <c r="D20" s="45"/>
      <c r="E20" s="45"/>
      <c r="F20" s="45"/>
      <c r="G20" s="45"/>
      <c r="H20" s="45"/>
      <c r="I20" s="45"/>
      <c r="J20" s="45"/>
      <c r="K20" s="46"/>
    </row>
    <row r="21" spans="2:14" x14ac:dyDescent="0.35">
      <c r="B21" s="9"/>
      <c r="C21" s="11" t="s">
        <v>18</v>
      </c>
      <c r="D21" s="24" t="str">
        <f>IFERROR(AVERAGE(E8:E10,E15:E17),"")</f>
        <v/>
      </c>
      <c r="E21" s="12"/>
      <c r="F21" s="12"/>
      <c r="G21" s="36"/>
      <c r="H21" s="9"/>
      <c r="I21" s="9"/>
      <c r="J21" s="11" t="s">
        <v>19</v>
      </c>
      <c r="K21" s="31" t="str">
        <f>IFERROR(AVERAGE(K8:K10,K15:K17),"")</f>
        <v/>
      </c>
    </row>
    <row r="22" spans="2:14" x14ac:dyDescent="0.35">
      <c r="B22" s="9"/>
      <c r="C22" s="11" t="s">
        <v>20</v>
      </c>
      <c r="D22" s="24"/>
      <c r="E22" s="12"/>
      <c r="F22" s="12"/>
      <c r="G22" s="36"/>
      <c r="H22" s="9"/>
      <c r="I22" s="9"/>
      <c r="J22" s="11" t="s">
        <v>21</v>
      </c>
      <c r="K22" s="13" t="e">
        <f>IF(D21&gt;0, K21/D21, 0)</f>
        <v>#VALUE!</v>
      </c>
    </row>
    <row r="23" spans="2:14" x14ac:dyDescent="0.35">
      <c r="B23" s="9"/>
      <c r="C23" s="9"/>
      <c r="D23" s="11"/>
      <c r="E23" s="12"/>
      <c r="F23" s="12"/>
      <c r="G23" s="36"/>
      <c r="H23" s="9"/>
      <c r="I23" s="9"/>
      <c r="J23" s="10" t="s">
        <v>22</v>
      </c>
      <c r="K23" s="32" t="e">
        <f>K22*D22</f>
        <v>#VALUE!</v>
      </c>
    </row>
    <row r="24" spans="2:14" x14ac:dyDescent="0.35">
      <c r="B24" s="9"/>
      <c r="C24" s="9"/>
      <c r="D24" s="9"/>
      <c r="E24" s="9"/>
      <c r="F24" s="9"/>
      <c r="G24" s="36"/>
      <c r="H24" s="9"/>
      <c r="I24" s="9"/>
      <c r="J24" s="9"/>
    </row>
    <row r="26" spans="2:14" ht="31.5" customHeight="1" x14ac:dyDescent="0.35">
      <c r="B26" s="26"/>
      <c r="C26" s="40" t="s">
        <v>23</v>
      </c>
      <c r="D26" s="41"/>
      <c r="E26" s="41"/>
      <c r="F26" s="41"/>
      <c r="G26" s="42"/>
      <c r="H26" s="41"/>
      <c r="I26" s="41"/>
      <c r="J26" s="41"/>
      <c r="K26" s="43"/>
    </row>
    <row r="27" spans="2:14" x14ac:dyDescent="0.35">
      <c r="D27" s="6"/>
      <c r="E27" s="39">
        <v>0.98</v>
      </c>
      <c r="J27" s="8" t="s">
        <v>24</v>
      </c>
      <c r="K27" s="56" t="e">
        <f>K23*E27</f>
        <v>#VALUE!</v>
      </c>
    </row>
    <row r="28" spans="2:14" x14ac:dyDescent="0.35">
      <c r="D28" s="6"/>
      <c r="E28" s="39">
        <v>1.02</v>
      </c>
      <c r="J28" s="8" t="s">
        <v>25</v>
      </c>
      <c r="K28" s="56" t="e">
        <f>K23*E28</f>
        <v>#VALUE!</v>
      </c>
    </row>
    <row r="29" spans="2:14" x14ac:dyDescent="0.35">
      <c r="I29" s="6" t="s">
        <v>26</v>
      </c>
      <c r="J29" s="34">
        <v>8.0500000000000002E-2</v>
      </c>
      <c r="K29" s="25" t="e">
        <f>K28*J29</f>
        <v>#VALUE!</v>
      </c>
    </row>
    <row r="30" spans="2:14" x14ac:dyDescent="0.35">
      <c r="J30" s="8" t="s">
        <v>27</v>
      </c>
      <c r="K30" s="33" t="e">
        <f>K28-K29</f>
        <v>#VALUE!</v>
      </c>
    </row>
    <row r="31" spans="2:14" x14ac:dyDescent="0.35">
      <c r="J31" s="8"/>
      <c r="K31" s="33"/>
    </row>
    <row r="32" spans="2:14" s="1" customFormat="1" x14ac:dyDescent="0.35">
      <c r="B32" s="50" t="s">
        <v>28</v>
      </c>
      <c r="C32" s="45"/>
      <c r="D32" s="45"/>
      <c r="E32" s="45"/>
      <c r="F32" s="45"/>
      <c r="G32" s="45"/>
      <c r="H32" s="45"/>
      <c r="I32" s="45"/>
      <c r="J32" s="45"/>
      <c r="K32" s="46"/>
    </row>
    <row r="33" spans="2:11" ht="24.65" customHeight="1" x14ac:dyDescent="0.35">
      <c r="B33" s="2" t="s">
        <v>4</v>
      </c>
      <c r="C33" s="2" t="s">
        <v>5</v>
      </c>
      <c r="D33" s="2" t="s">
        <v>29</v>
      </c>
      <c r="E33" s="5" t="s">
        <v>30</v>
      </c>
      <c r="F33" s="48" t="s">
        <v>31</v>
      </c>
      <c r="G33" s="46"/>
      <c r="H33" s="7" t="s">
        <v>10</v>
      </c>
      <c r="I33" s="7" t="s">
        <v>11</v>
      </c>
      <c r="J33" s="7" t="s">
        <v>12</v>
      </c>
      <c r="K33" s="15" t="s">
        <v>13</v>
      </c>
    </row>
    <row r="34" spans="2:11" x14ac:dyDescent="0.35">
      <c r="C34" s="3"/>
      <c r="D34" s="23" t="e">
        <f>K34/E34</f>
        <v>#DIV/0!</v>
      </c>
      <c r="E34" s="17"/>
      <c r="F34" s="49"/>
      <c r="G34" s="46"/>
      <c r="H34" s="17"/>
      <c r="I34" s="17"/>
      <c r="J34" s="17"/>
      <c r="K34" s="28"/>
    </row>
    <row r="35" spans="2:11" x14ac:dyDescent="0.35">
      <c r="B35" s="3"/>
      <c r="C35" s="3"/>
      <c r="D35" s="23" t="e">
        <f>K35/E35</f>
        <v>#DIV/0!</v>
      </c>
      <c r="E35" s="17"/>
      <c r="F35" s="49"/>
      <c r="G35" s="46"/>
      <c r="H35" s="17"/>
      <c r="I35" s="17"/>
      <c r="J35" s="17"/>
      <c r="K35" s="28"/>
    </row>
    <row r="36" spans="2:11" x14ac:dyDescent="0.35">
      <c r="B36" s="3"/>
      <c r="C36" s="3"/>
      <c r="D36" s="23" t="e">
        <f>K36/E36</f>
        <v>#DIV/0!</v>
      </c>
      <c r="E36" s="17"/>
      <c r="F36" s="49"/>
      <c r="G36" s="46"/>
      <c r="H36" s="17"/>
      <c r="I36" s="17"/>
      <c r="J36" s="17"/>
      <c r="K36" s="28"/>
    </row>
    <row r="37" spans="2:11" x14ac:dyDescent="0.35">
      <c r="C37" s="20"/>
      <c r="E37" s="21"/>
      <c r="F37" s="21"/>
      <c r="G37" s="22"/>
      <c r="H37" s="44" t="s">
        <v>14</v>
      </c>
      <c r="I37" s="45"/>
      <c r="J37" s="46"/>
      <c r="K37" s="35" t="e">
        <f>AVERAGE(K34:K36)</f>
        <v>#DIV/0!</v>
      </c>
    </row>
  </sheetData>
  <mergeCells count="15">
    <mergeCell ref="B1:K1"/>
    <mergeCell ref="B13:K13"/>
    <mergeCell ref="B20:K20"/>
    <mergeCell ref="B6:K6"/>
    <mergeCell ref="C4:K4"/>
    <mergeCell ref="H11:J11"/>
    <mergeCell ref="H18:J18"/>
    <mergeCell ref="C26:K26"/>
    <mergeCell ref="H37:J37"/>
    <mergeCell ref="B2:K2"/>
    <mergeCell ref="F33:G33"/>
    <mergeCell ref="F34:G34"/>
    <mergeCell ref="F35:G35"/>
    <mergeCell ref="F36:G36"/>
    <mergeCell ref="B32:K32"/>
  </mergeCells>
  <conditionalFormatting sqref="M8:M10">
    <cfRule type="expression" dxfId="3" priority="10">
      <formula>M8&gt;$M$8:$M$10*1.4</formula>
    </cfRule>
    <cfRule type="expression" dxfId="2" priority="11">
      <formula>M8&lt;$M$8:$M$10*0.6</formula>
    </cfRule>
  </conditionalFormatting>
  <conditionalFormatting sqref="M15:M17">
    <cfRule type="expression" dxfId="1" priority="16">
      <formula>M15&gt;$M$15:$M$17*1.4</formula>
    </cfRule>
    <cfRule type="expression" dxfId="0" priority="17">
      <formula>M15&lt;$M$15:$M$17*0.6</formula>
    </cfRule>
  </conditionalFormatting>
  <printOptions horizontalCentered="1"/>
  <pageMargins left="0.31496062992125978" right="0.31496062992125978" top="0.35433070866141742" bottom="0.35433070866141742" header="0.31496062992125978" footer="0.31496062992125978"/>
  <pageSetup paperSize="9" scale="7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Sheet5</vt:lpstr>
      <vt:lpstr>Sheet5!Print_Area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Angelique Schutte</dc:creator>
  <cp:lastModifiedBy>Janus De Jonge</cp:lastModifiedBy>
  <cp:lastPrinted>2023-08-10T13:02:12Z</cp:lastPrinted>
  <dcterms:created xsi:type="dcterms:W3CDTF">2016-12-09T09:50:52Z</dcterms:created>
  <dcterms:modified xsi:type="dcterms:W3CDTF">2026-03-31T05:26:10Z</dcterms:modified>
</cp:coreProperties>
</file>