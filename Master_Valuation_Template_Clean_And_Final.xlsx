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janus\Desktop\Chat GPT uploads\"/>
    </mc:Choice>
  </mc:AlternateContent>
  <xr:revisionPtr revIDLastSave="0" documentId="13_ncr:1_{9679F07A-6D3F-4BD8-8893-0F5153DCBD72}" xr6:coauthVersionLast="47" xr6:coauthVersionMax="47" xr10:uidLastSave="{00000000-0000-0000-0000-000000000000}"/>
  <bookViews>
    <workbookView xWindow="-110" yWindow="-110" windowWidth="19420" windowHeight="10300" xr2:uid="{00000000-000D-0000-FFFF-FFFF00000000}"/>
  </bookViews>
  <sheets>
    <sheet name="Sheet5" sheetId="1" r:id="rId1"/>
  </sheets>
  <definedNames>
    <definedName name="_xlnm.Print_Area" localSheetId="0">Sheet5!$A$1:$K$42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2" i="1" l="1"/>
  <c r="D21" i="1"/>
  <c r="K21" i="1"/>
  <c r="K18" i="1"/>
  <c r="K27" i="1" s="1"/>
  <c r="K11" i="1"/>
  <c r="K26" i="1" s="1"/>
  <c r="K42" i="1"/>
  <c r="D41" i="1"/>
  <c r="D40" i="1"/>
  <c r="D39" i="1"/>
  <c r="J28" i="1"/>
  <c r="J27" i="1"/>
  <c r="J26" i="1"/>
  <c r="M17" i="1"/>
  <c r="M16" i="1"/>
  <c r="M15" i="1"/>
  <c r="M10" i="1"/>
  <c r="M9" i="1"/>
  <c r="M8" i="1"/>
  <c r="K23" i="1" l="1"/>
  <c r="K28" i="1" s="1"/>
  <c r="K29" i="1"/>
  <c r="K33" i="1" s="1"/>
  <c r="K32" i="1" l="1"/>
  <c r="K34" i="1"/>
  <c r="K35" i="1" s="1"/>
</calcChain>
</file>

<file path=xl/sharedStrings.xml><?xml version="1.0" encoding="utf-8"?>
<sst xmlns="http://schemas.openxmlformats.org/spreadsheetml/2006/main" count="51" uniqueCount="33">
  <si>
    <t>MARKET VALUATION</t>
  </si>
  <si>
    <t>Although it is not for us to dictate prices - the actual value of any property ultimately, being that which a willing and able buyer is prepared to pay at given time - following a search on LIGHTSTONE and PROPERTY24, property values in your suburb and our research pertaining to asking prices and sales transactions, both past and present, we calculate your property value as follows;</t>
  </si>
  <si>
    <t>ADDRESS:</t>
  </si>
  <si>
    <t>01 - SOLD PROPERTIES IN STREET, COMPLEX OR ESTATE</t>
  </si>
  <si>
    <t>SUBURB</t>
  </si>
  <si>
    <t>#</t>
  </si>
  <si>
    <t>STREET or COMPLEX</t>
  </si>
  <si>
    <t>Roof m2</t>
  </si>
  <si>
    <t>Erf m2</t>
  </si>
  <si>
    <t>SALE DATE</t>
  </si>
  <si>
    <t>BED</t>
  </si>
  <si>
    <t>BATH</t>
  </si>
  <si>
    <t>GARAGE</t>
  </si>
  <si>
    <t>PRICE</t>
  </si>
  <si>
    <t>AVERAGE:</t>
  </si>
  <si>
    <t>02 - SOLD PROPERTIES IN SUBURB AND SURROUNDING AREA</t>
  </si>
  <si>
    <t xml:space="preserve"> </t>
  </si>
  <si>
    <t>03 - SOLD LAND IN SUBURB AND SURROUNDING AREA - AVERAGE ERF PER SQUARE METER</t>
  </si>
  <si>
    <t>Average Sold Square Meter</t>
  </si>
  <si>
    <t>Average Sold Price</t>
  </si>
  <si>
    <t>Your Property Square Meter</t>
  </si>
  <si>
    <t>Average Cost per Square Meter</t>
  </si>
  <si>
    <t>Proposed Price Calculated per Square Meter</t>
  </si>
  <si>
    <t>SUMMARY</t>
  </si>
  <si>
    <t>Taking the market analysis and the condition of the property in to account, 
I would recommend the following price for this property.</t>
  </si>
  <si>
    <t>Quick Sale (45 - 60 Days)</t>
  </si>
  <si>
    <t>Proposed Listing Price</t>
  </si>
  <si>
    <t>Commision</t>
  </si>
  <si>
    <t>Owner Gets</t>
  </si>
  <si>
    <t>CURRENT PROPERTIES ON MARKET SIMILAR TO YOURS</t>
  </si>
  <si>
    <t>Average price per 2m</t>
  </si>
  <si>
    <t>SIZE</t>
  </si>
  <si>
    <t>Days on the 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</si>
</sst>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_-&quot;R&quot;* #,##0_-;\-&quot;R&quot;* #,##0_-;_-&quot;R&quot;* &quot;-&quot;??_-;_-@_-"/>
    <numFmt numFmtId="166" formatCode="_-&quot;R&quot;* #,##0.00_-;\-&quot;R&quot;* #,##0.00_-;_-&quot;R&quot;* &quot;-&quot;??_-;_-@_-"/>
    <numFmt numFmtId="167" formatCode="_-&quot;R&quot;* #,##0_-;\-&quot;R&quot;* #,##0_-;_-&quot;R&quot;* &quot;-&quot;_-;_-@_-"/>
    <numFmt numFmtId="168" formatCode="_-&quot;R&quot;* #,##0.00_-;\-&quot;R&quot;* #,##0.00_-;_-&quot;R&quot;* &quot;-&quot;_-;_-@_-"/>
    <numFmt numFmtId="169" formatCode="&quot;R&quot;#,##0.00"/>
  </numFmts>
  <fonts count="11" x14ac:knownFonts="1">
    <font>
      <sz val="11"/>
      <color theme="1"/>
      <name val="Calibri"/>
      <family val="2"/>
      <scheme val="minor"/>
    </font>
    <font>
      <b/>
      <sz val="11"/>
      <color theme="1"/>
      <name val="Calibri"/>
      <family val="2"/>
      <scheme val="minor"/>
    </font>
    <font>
      <b/>
      <sz val="11"/>
      <name val="Calibri"/>
      <family val="2"/>
      <scheme val="minor"/>
    </font>
    <font>
      <sz val="11"/>
      <name val="Calibri"/>
      <family val="2"/>
      <scheme val="minor"/>
    </font>
    <font>
      <b/>
      <sz val="11"/>
      <color rgb="FFFF0000"/>
      <name val="Calibri"/>
      <family val="2"/>
      <scheme val="minor"/>
    </font>
    <font>
      <b/>
      <sz val="11"/>
      <color rgb="FF00B0F0"/>
      <name val="Calibri"/>
      <family val="2"/>
      <scheme val="minor"/>
    </font>
    <font>
      <b/>
      <sz val="11"/>
      <color theme="0"/>
      <name val="Calibri"/>
      <family val="2"/>
      <scheme val="minor"/>
    </font>
    <font>
      <b/>
      <sz val="18"/>
      <color theme="0"/>
      <name val="Calibri"/>
      <family val="2"/>
      <scheme val="minor"/>
    </font>
    <font>
      <b/>
      <sz val="11"/>
      <color rgb="FFFFC000"/>
      <name val="Calibri"/>
      <family val="2"/>
      <scheme val="minor"/>
    </font>
    <font>
      <sz val="11"/>
      <color theme="1"/>
      <name val="Calibri"/>
      <family val="2"/>
      <scheme val="minor"/>
    </font>
    <font>
      <b/>
      <sz val="11"/>
      <color rgb="FF92D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rgb="FF00B0F0"/>
        <bgColor indexed="64"/>
      </patternFill>
    </fill>
    <fill>
      <patternFill patternType="solid">
        <fgColor rgb="FF0070C0"/>
        <bgColor indexed="64"/>
      </patternFill>
    </fill>
    <fill>
      <patternFill patternType="solid">
        <fgColor rgb="FFFFC000"/>
        <bgColor indexed="64"/>
      </patternFill>
    </fill>
    <fill>
      <patternFill patternType="solid">
        <fgColor rgb="FFFF0000"/>
        <bgColor indexed="64"/>
      </patternFill>
    </fill>
    <fill>
      <patternFill patternType="solid">
        <fgColor rgb="FFFF3399"/>
        <bgColor indexed="64"/>
      </patternFill>
    </fill>
    <fill>
      <patternFill patternType="solid">
        <fgColor rgb="FF92D05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9" fontId="9" fillId="0" borderId="0"/>
  </cellStyleXfs>
  <cellXfs count="65">
    <xf numFmtId="0" fontId="0" fillId="0" borderId="0" xfId="0"/>
    <xf numFmtId="0" fontId="1" fillId="0" borderId="0" xfId="0" applyFont="1"/>
    <xf numFmtId="0" fontId="1" fillId="2" borderId="1" xfId="0" applyFont="1" applyFill="1" applyBorder="1" applyAlignment="1">
      <alignment horizontal="center" wrapText="1"/>
    </xf>
    <xf numFmtId="0" fontId="0" fillId="0" borderId="1" xfId="0" applyBorder="1"/>
    <xf numFmtId="164" fontId="1" fillId="2" borderId="1" xfId="0" applyNumberFormat="1" applyFont="1" applyFill="1" applyBorder="1" applyAlignment="1">
      <alignment horizontal="center" wrapText="1"/>
    </xf>
    <xf numFmtId="3" fontId="1" fillId="2" borderId="1" xfId="0" applyNumberFormat="1" applyFont="1" applyFill="1" applyBorder="1" applyAlignment="1">
      <alignment horizontal="center" wrapText="1"/>
    </xf>
    <xf numFmtId="0" fontId="0" fillId="0" borderId="0" xfId="0" applyAlignment="1">
      <alignment horizontal="right"/>
    </xf>
    <xf numFmtId="0" fontId="1" fillId="2" borderId="1" xfId="0" applyFont="1" applyFill="1" applyBorder="1" applyAlignment="1">
      <alignment horizontal="center" textRotation="90" wrapText="1"/>
    </xf>
    <xf numFmtId="0" fontId="1" fillId="0" borderId="0" xfId="0" applyFont="1" applyAlignment="1">
      <alignment horizontal="right"/>
    </xf>
    <xf numFmtId="0" fontId="3" fillId="0" borderId="0" xfId="0" applyFont="1"/>
    <xf numFmtId="0" fontId="2" fillId="0" borderId="0" xfId="0" applyFont="1" applyAlignment="1">
      <alignment horizontal="right"/>
    </xf>
    <xf numFmtId="0" fontId="3" fillId="0" borderId="0" xfId="0" applyFont="1" applyAlignment="1">
      <alignment horizontal="right"/>
    </xf>
    <xf numFmtId="3" fontId="3" fillId="0" borderId="0" xfId="0" applyNumberFormat="1" applyFont="1"/>
    <xf numFmtId="165" fontId="3" fillId="0" borderId="0" xfId="0" applyNumberFormat="1" applyFont="1"/>
    <xf numFmtId="166" fontId="0" fillId="0" borderId="0" xfId="0" applyNumberFormat="1"/>
    <xf numFmtId="167" fontId="2" fillId="2" borderId="1" xfId="0" applyNumberFormat="1" applyFont="1" applyFill="1" applyBorder="1" applyAlignment="1">
      <alignment horizontal="center" wrapText="1"/>
    </xf>
    <xf numFmtId="167" fontId="2" fillId="0" borderId="0" xfId="0" applyNumberFormat="1" applyFont="1"/>
    <xf numFmtId="0" fontId="0" fillId="0" borderId="1" xfId="0" applyBorder="1" applyAlignment="1">
      <alignment horizontal="center"/>
    </xf>
    <xf numFmtId="3" fontId="0" fillId="0" borderId="1" xfId="0" applyNumberFormat="1"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3" fontId="0" fillId="0" borderId="0" xfId="0" applyNumberFormat="1" applyAlignment="1">
      <alignment horizontal="center"/>
    </xf>
    <xf numFmtId="164" fontId="0" fillId="0" borderId="0" xfId="0" applyNumberFormat="1" applyAlignment="1">
      <alignment horizontal="center"/>
    </xf>
    <xf numFmtId="166" fontId="0" fillId="0" borderId="1" xfId="0" applyNumberFormat="1" applyBorder="1"/>
    <xf numFmtId="3" fontId="3" fillId="0" borderId="0" xfId="0" applyNumberFormat="1" applyFont="1" applyAlignment="1">
      <alignment horizontal="left"/>
    </xf>
    <xf numFmtId="166" fontId="3" fillId="0" borderId="0" xfId="0" applyNumberFormat="1" applyFont="1"/>
    <xf numFmtId="0" fontId="1" fillId="0" borderId="0" xfId="0" applyFont="1" applyAlignment="1">
      <alignment wrapText="1"/>
    </xf>
    <xf numFmtId="0" fontId="8" fillId="0" borderId="0" xfId="0" applyFont="1" applyAlignment="1">
      <alignment horizontal="right"/>
    </xf>
    <xf numFmtId="0" fontId="1" fillId="2" borderId="1" xfId="0" applyFont="1" applyFill="1" applyBorder="1" applyAlignment="1">
      <alignment horizontal="right" vertical="center"/>
    </xf>
    <xf numFmtId="168" fontId="3" fillId="0" borderId="1" xfId="0" applyNumberFormat="1" applyFont="1" applyBorder="1"/>
    <xf numFmtId="168" fontId="8" fillId="0" borderId="1" xfId="0" applyNumberFormat="1" applyFont="1" applyBorder="1"/>
    <xf numFmtId="168" fontId="4" fillId="0" borderId="1" xfId="0" applyNumberFormat="1" applyFont="1" applyBorder="1"/>
    <xf numFmtId="168" fontId="3" fillId="0" borderId="0" xfId="0" applyNumberFormat="1" applyFont="1"/>
    <xf numFmtId="168" fontId="8" fillId="0" borderId="0" xfId="0" applyNumberFormat="1" applyFont="1"/>
    <xf numFmtId="168" fontId="2" fillId="0" borderId="0" xfId="0" applyNumberFormat="1" applyFont="1"/>
    <xf numFmtId="0" fontId="4" fillId="0" borderId="0" xfId="0" applyFont="1" applyAlignment="1">
      <alignment horizontal="right"/>
    </xf>
    <xf numFmtId="168" fontId="4" fillId="0" borderId="0" xfId="0" applyNumberFormat="1" applyFont="1"/>
    <xf numFmtId="0" fontId="10" fillId="0" borderId="0" xfId="0" applyFont="1" applyAlignment="1">
      <alignment horizontal="right"/>
    </xf>
    <xf numFmtId="166" fontId="10" fillId="0" borderId="0" xfId="0" applyNumberFormat="1" applyFont="1"/>
    <xf numFmtId="166" fontId="2" fillId="0" borderId="0" xfId="0" applyNumberFormat="1" applyFont="1"/>
    <xf numFmtId="10" fontId="0" fillId="0" borderId="0" xfId="1" applyNumberFormat="1" applyFont="1"/>
    <xf numFmtId="168" fontId="5" fillId="0" borderId="6" xfId="0" applyNumberFormat="1" applyFont="1" applyBorder="1"/>
    <xf numFmtId="164" fontId="3" fillId="0" borderId="0" xfId="0" applyNumberFormat="1" applyFont="1"/>
    <xf numFmtId="164" fontId="0" fillId="0" borderId="0" xfId="0" applyNumberFormat="1"/>
    <xf numFmtId="3" fontId="1" fillId="2" borderId="3" xfId="0" applyNumberFormat="1" applyFont="1" applyFill="1" applyBorder="1" applyAlignment="1">
      <alignment horizontal="center" wrapText="1"/>
    </xf>
    <xf numFmtId="168" fontId="10" fillId="0" borderId="2" xfId="0" applyNumberFormat="1" applyFont="1" applyBorder="1"/>
    <xf numFmtId="9" fontId="0" fillId="0" borderId="0" xfId="0" applyNumberFormat="1"/>
    <xf numFmtId="169" fontId="2" fillId="0" borderId="0" xfId="0" applyNumberFormat="1" applyFont="1"/>
    <xf numFmtId="0" fontId="7" fillId="4" borderId="1" xfId="0" applyFont="1" applyFill="1" applyBorder="1" applyAlignment="1">
      <alignment horizontal="center"/>
    </xf>
    <xf numFmtId="0" fontId="0" fillId="0" borderId="4" xfId="0" applyBorder="1"/>
    <xf numFmtId="0" fontId="0" fillId="0" borderId="5" xfId="0" applyBorder="1"/>
    <xf numFmtId="0" fontId="6" fillId="5" borderId="1" xfId="0" applyFont="1" applyFill="1" applyBorder="1" applyAlignment="1">
      <alignment horizontal="center"/>
    </xf>
    <xf numFmtId="0" fontId="6" fillId="8" borderId="1" xfId="0" applyFont="1" applyFill="1" applyBorder="1" applyAlignment="1">
      <alignment horizontal="center"/>
    </xf>
    <xf numFmtId="0" fontId="6" fillId="6" borderId="1" xfId="0" applyFont="1" applyFill="1" applyBorder="1" applyAlignment="1">
      <alignment horizontal="center"/>
    </xf>
    <xf numFmtId="0" fontId="1" fillId="0" borderId="1" xfId="0" applyFont="1" applyBorder="1" applyAlignment="1">
      <alignment horizontal="center"/>
    </xf>
    <xf numFmtId="0" fontId="1" fillId="0" borderId="1" xfId="0" applyFont="1" applyBorder="1" applyAlignment="1">
      <alignment horizontal="right"/>
    </xf>
    <xf numFmtId="0" fontId="0" fillId="0" borderId="0" xfId="0" applyAlignment="1">
      <alignment horizontal="right" wrapText="1"/>
    </xf>
    <xf numFmtId="0" fontId="0" fillId="0" borderId="0" xfId="0"/>
    <xf numFmtId="164" fontId="0" fillId="0" borderId="0" xfId="0" applyNumberFormat="1"/>
    <xf numFmtId="0" fontId="3" fillId="0" borderId="0" xfId="0" applyFont="1"/>
    <xf numFmtId="0" fontId="1" fillId="0" borderId="0" xfId="0" applyFont="1" applyAlignment="1">
      <alignment horizontal="center" wrapText="1"/>
    </xf>
    <xf numFmtId="0" fontId="6" fillId="7" borderId="1" xfId="0" applyFont="1" applyFill="1" applyBorder="1" applyAlignment="1">
      <alignment horizontal="center"/>
    </xf>
    <xf numFmtId="164" fontId="1" fillId="2" borderId="1" xfId="0" applyNumberFormat="1" applyFont="1" applyFill="1" applyBorder="1" applyAlignment="1">
      <alignment horizontal="center" wrapText="1"/>
    </xf>
    <xf numFmtId="3" fontId="0" fillId="0" borderId="1" xfId="0" applyNumberFormat="1" applyBorder="1" applyAlignment="1">
      <alignment horizontal="center"/>
    </xf>
    <xf numFmtId="0" fontId="6" fillId="3" borderId="1" xfId="0" applyFont="1" applyFill="1" applyBorder="1" applyAlignment="1">
      <alignment horizontal="center"/>
    </xf>
  </cellXfs>
  <cellStyles count="2">
    <cellStyle name="Normal" xfId="0" builtinId="0"/>
    <cellStyle name="Percent" xfId="1" builtinId="5"/>
  </cellStyles>
  <dxfs count="4">
    <dxf>
      <fill>
        <patternFill patternType="solid">
          <fgColor rgb="FFFFC7CE"/>
          <bgColor rgb="FFFFC7CE"/>
        </patternFill>
      </fill>
    </dxf>
    <dxf>
      <fill>
        <patternFill patternType="solid">
          <fgColor rgb="FFFFC7CE"/>
          <bgColor rgb="FFFFC7CE"/>
        </patternFill>
      </fill>
    </dxf>
    <dxf>
      <fill>
        <patternFill patternType="solid">
          <fgColor rgb="FFFFC7CE"/>
          <bgColor rgb="FFFFC7CE"/>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N42"/>
  <sheetViews>
    <sheetView tabSelected="1" topLeftCell="A9" zoomScale="90" zoomScaleNormal="90" workbookViewId="0">
      <selection activeCell="K23" sqref="K23"/>
    </sheetView>
  </sheetViews>
  <sheetFormatPr defaultColWidth="9.1796875" defaultRowHeight="14.5" x14ac:dyDescent="0.35"/>
  <cols>
    <col min="1" max="1" width="1.81640625" customWidth="1"/>
    <col min="2" max="2" width="25.81640625" customWidth="1"/>
    <col min="3" max="3" width="6.81640625" customWidth="1"/>
    <col min="4" max="4" width="24.81640625" customWidth="1"/>
    <col min="5" max="6" width="8.81640625" customWidth="1"/>
    <col min="7" max="7" width="11.1796875" style="43" bestFit="1" customWidth="1"/>
    <col min="8" max="10" width="6.81640625" customWidth="1"/>
    <col min="11" max="11" width="15.81640625" style="9" customWidth="1"/>
    <col min="13" max="13" width="11.1796875" bestFit="1" customWidth="1"/>
  </cols>
  <sheetData>
    <row r="1" spans="2:13" ht="23.4" customHeight="1" x14ac:dyDescent="0.55000000000000004">
      <c r="B1" s="48" t="s">
        <v>0</v>
      </c>
      <c r="C1" s="49"/>
      <c r="D1" s="49"/>
      <c r="E1" s="49"/>
      <c r="F1" s="49"/>
      <c r="G1" s="49"/>
      <c r="H1" s="49"/>
      <c r="I1" s="49"/>
      <c r="J1" s="49"/>
      <c r="K1" s="50"/>
    </row>
    <row r="2" spans="2:13" ht="45" customHeight="1" x14ac:dyDescent="0.35">
      <c r="B2" s="60" t="s">
        <v>1</v>
      </c>
      <c r="C2" s="57"/>
      <c r="D2" s="57"/>
      <c r="E2" s="57"/>
      <c r="F2" s="57"/>
      <c r="G2" s="58"/>
      <c r="H2" s="57"/>
      <c r="I2" s="57"/>
      <c r="J2" s="57"/>
      <c r="K2" s="59"/>
    </row>
    <row r="4" spans="2:13" x14ac:dyDescent="0.35">
      <c r="B4" s="28" t="s">
        <v>2</v>
      </c>
      <c r="C4" s="54"/>
      <c r="D4" s="49"/>
      <c r="E4" s="49"/>
      <c r="F4" s="49"/>
      <c r="G4" s="49"/>
      <c r="H4" s="49"/>
      <c r="I4" s="49"/>
      <c r="J4" s="49"/>
      <c r="K4" s="50"/>
    </row>
    <row r="6" spans="2:13" s="1" customFormat="1" x14ac:dyDescent="0.35">
      <c r="B6" s="53" t="s">
        <v>3</v>
      </c>
      <c r="C6" s="49"/>
      <c r="D6" s="49"/>
      <c r="E6" s="49"/>
      <c r="F6" s="49"/>
      <c r="G6" s="49"/>
      <c r="H6" s="49"/>
      <c r="I6" s="49"/>
      <c r="J6" s="49"/>
      <c r="K6" s="50"/>
    </row>
    <row r="7" spans="2:13" ht="30" customHeight="1" x14ac:dyDescent="0.35">
      <c r="B7" s="2" t="s">
        <v>4</v>
      </c>
      <c r="C7" s="2" t="s">
        <v>5</v>
      </c>
      <c r="D7" s="2" t="s">
        <v>6</v>
      </c>
      <c r="E7" s="44" t="s">
        <v>7</v>
      </c>
      <c r="F7" s="44" t="s">
        <v>8</v>
      </c>
      <c r="G7" s="4" t="s">
        <v>9</v>
      </c>
      <c r="H7" s="7" t="s">
        <v>10</v>
      </c>
      <c r="I7" s="7" t="s">
        <v>11</v>
      </c>
      <c r="J7" s="7" t="s">
        <v>12</v>
      </c>
      <c r="K7" s="15" t="s">
        <v>13</v>
      </c>
    </row>
    <row r="8" spans="2:13" x14ac:dyDescent="0.35">
      <c r="B8" s="3"/>
      <c r="C8" s="17"/>
      <c r="D8" s="3"/>
      <c r="E8" s="18"/>
      <c r="F8" s="18"/>
      <c r="G8" s="19"/>
      <c r="H8" s="17"/>
      <c r="I8" s="17"/>
      <c r="J8" s="17"/>
      <c r="K8" s="29"/>
      <c r="M8" s="14" t="str">
        <f>IF(AND(ISNUMBER(K8), ISNUMBER(E8), E8&lt;&gt;0), K8/E8, "")</f>
        <v/>
      </c>
    </row>
    <row r="9" spans="2:13" x14ac:dyDescent="0.35">
      <c r="B9" s="3"/>
      <c r="C9" s="17"/>
      <c r="D9" s="3"/>
      <c r="E9" s="18"/>
      <c r="F9" s="18"/>
      <c r="G9" s="19"/>
      <c r="H9" s="17"/>
      <c r="I9" s="17"/>
      <c r="J9" s="17"/>
      <c r="K9" s="29"/>
      <c r="M9" s="14" t="str">
        <f>IF(AND(ISNUMBER(K9), ISNUMBER(E9), E9&lt;&gt;0), K9/E9, "")</f>
        <v/>
      </c>
    </row>
    <row r="10" spans="2:13" x14ac:dyDescent="0.35">
      <c r="B10" s="3"/>
      <c r="C10" s="17"/>
      <c r="D10" s="3"/>
      <c r="E10" s="18"/>
      <c r="F10" s="18"/>
      <c r="G10" s="19"/>
      <c r="H10" s="17"/>
      <c r="I10" s="17"/>
      <c r="J10" s="17"/>
      <c r="K10" s="29"/>
      <c r="M10" s="14" t="str">
        <f>IF(AND(ISNUMBER(K10), ISNUMBER(E10), E10&lt;&gt;0), K10/E10, "")</f>
        <v/>
      </c>
    </row>
    <row r="11" spans="2:13" x14ac:dyDescent="0.35">
      <c r="C11" s="20"/>
      <c r="E11" s="21"/>
      <c r="F11" s="21"/>
      <c r="G11" s="22"/>
      <c r="H11" s="55" t="s">
        <v>14</v>
      </c>
      <c r="I11" s="49"/>
      <c r="J11" s="50"/>
      <c r="K11" s="31" t="str">
        <f>IF(COUNT(K8:K10)=0,"",AVERAGE(K8:K10))</f>
        <v/>
      </c>
    </row>
    <row r="12" spans="2:13" x14ac:dyDescent="0.35">
      <c r="C12" s="20"/>
      <c r="E12" s="21"/>
      <c r="F12" s="21"/>
      <c r="G12" s="22"/>
      <c r="H12" s="20"/>
      <c r="I12" s="20"/>
      <c r="J12" s="20"/>
      <c r="K12" s="16"/>
    </row>
    <row r="13" spans="2:13" s="1" customFormat="1" x14ac:dyDescent="0.35">
      <c r="B13" s="51" t="s">
        <v>15</v>
      </c>
      <c r="C13" s="49"/>
      <c r="D13" s="49"/>
      <c r="E13" s="49"/>
      <c r="F13" s="49"/>
      <c r="G13" s="49"/>
      <c r="H13" s="49"/>
      <c r="I13" s="49"/>
      <c r="J13" s="49"/>
      <c r="K13" s="50"/>
    </row>
    <row r="14" spans="2:13" ht="30" customHeight="1" x14ac:dyDescent="0.35">
      <c r="B14" s="2" t="s">
        <v>4</v>
      </c>
      <c r="C14" s="2" t="s">
        <v>5</v>
      </c>
      <c r="D14" s="2" t="s">
        <v>6</v>
      </c>
      <c r="E14" s="44" t="s">
        <v>7</v>
      </c>
      <c r="F14" s="44" t="s">
        <v>8</v>
      </c>
      <c r="G14" s="4" t="s">
        <v>9</v>
      </c>
      <c r="H14" s="7" t="s">
        <v>10</v>
      </c>
      <c r="I14" s="7" t="s">
        <v>11</v>
      </c>
      <c r="J14" s="7" t="s">
        <v>12</v>
      </c>
      <c r="K14" s="15" t="s">
        <v>13</v>
      </c>
    </row>
    <row r="15" spans="2:13" x14ac:dyDescent="0.35">
      <c r="B15" s="3"/>
      <c r="C15" s="17"/>
      <c r="D15" s="3"/>
      <c r="E15" s="18"/>
      <c r="F15" s="18"/>
      <c r="G15" s="19"/>
      <c r="H15" s="17"/>
      <c r="I15" s="17"/>
      <c r="J15" s="17"/>
      <c r="K15" s="29"/>
      <c r="M15" s="14" t="str">
        <f>IF(AND(ISNUMBER(K15), ISNUMBER(E15), E15&lt;&gt;0), K15/E15, "")</f>
        <v/>
      </c>
    </row>
    <row r="16" spans="2:13" x14ac:dyDescent="0.35">
      <c r="B16" s="3"/>
      <c r="C16" s="17"/>
      <c r="D16" s="3"/>
      <c r="E16" s="18"/>
      <c r="F16" s="18"/>
      <c r="G16" s="19"/>
      <c r="H16" s="17"/>
      <c r="I16" s="17"/>
      <c r="J16" s="17"/>
      <c r="K16" s="29"/>
      <c r="M16" s="14" t="str">
        <f>IF(AND(ISNUMBER(K16), ISNUMBER(E16), E16&lt;&gt;0), K16/E16, "")</f>
        <v/>
      </c>
    </row>
    <row r="17" spans="2:14" x14ac:dyDescent="0.35">
      <c r="B17" s="3"/>
      <c r="C17" s="17"/>
      <c r="D17" s="3"/>
      <c r="E17" s="18"/>
      <c r="F17" s="18"/>
      <c r="G17" s="19"/>
      <c r="H17" s="17"/>
      <c r="I17" s="17"/>
      <c r="J17" s="17"/>
      <c r="K17" s="29"/>
      <c r="M17" s="14" t="str">
        <f>IF(AND(ISNUMBER(K17), ISNUMBER(E17), E17&lt;&gt;0), K17/E17, "")</f>
        <v/>
      </c>
    </row>
    <row r="18" spans="2:14" x14ac:dyDescent="0.35">
      <c r="C18" s="20"/>
      <c r="E18" s="21"/>
      <c r="F18" s="21"/>
      <c r="G18" s="22"/>
      <c r="H18" s="55" t="s">
        <v>14</v>
      </c>
      <c r="I18" s="49"/>
      <c r="J18" s="50"/>
      <c r="K18" s="30" t="str">
        <f>IF(COUNT(K15:K17)=0,"",AVERAGE(K15:K17))</f>
        <v/>
      </c>
    </row>
    <row r="19" spans="2:14" x14ac:dyDescent="0.35">
      <c r="C19" s="20"/>
      <c r="E19" s="21"/>
      <c r="F19" s="21"/>
      <c r="G19" s="22"/>
      <c r="H19" s="20"/>
      <c r="I19" s="20"/>
      <c r="J19" s="20"/>
      <c r="K19" s="16"/>
      <c r="N19" t="s">
        <v>16</v>
      </c>
    </row>
    <row r="20" spans="2:14" s="1" customFormat="1" x14ac:dyDescent="0.35">
      <c r="B20" s="52" t="s">
        <v>17</v>
      </c>
      <c r="C20" s="49"/>
      <c r="D20" s="49"/>
      <c r="E20" s="49"/>
      <c r="F20" s="49"/>
      <c r="G20" s="49"/>
      <c r="H20" s="49"/>
      <c r="I20" s="49"/>
      <c r="J20" s="49"/>
      <c r="K20" s="50"/>
    </row>
    <row r="21" spans="2:14" x14ac:dyDescent="0.35">
      <c r="B21" s="9"/>
      <c r="C21" s="11" t="s">
        <v>18</v>
      </c>
      <c r="D21" s="24" t="str">
        <f>IFERROR(AVERAGE(E8:E10,E15:E17),"")</f>
        <v/>
      </c>
      <c r="E21" s="12"/>
      <c r="F21" s="12"/>
      <c r="G21" s="42"/>
      <c r="H21" s="9"/>
      <c r="I21" s="9"/>
      <c r="J21" s="11" t="s">
        <v>19</v>
      </c>
      <c r="K21" s="32" t="str">
        <f>IFERROR(AVERAGE(K8:K10,K15:K17),"")</f>
        <v/>
      </c>
    </row>
    <row r="22" spans="2:14" x14ac:dyDescent="0.35">
      <c r="B22" s="9"/>
      <c r="C22" s="11" t="s">
        <v>20</v>
      </c>
      <c r="D22" s="24"/>
      <c r="E22" s="12"/>
      <c r="F22" s="12"/>
      <c r="G22" s="42"/>
      <c r="H22" s="9"/>
      <c r="I22" s="9"/>
      <c r="J22" s="11" t="s">
        <v>21</v>
      </c>
      <c r="K22" s="13" t="e">
        <f>IF(D21&gt;0, K21/D21, 0)</f>
        <v>#VALUE!</v>
      </c>
    </row>
    <row r="23" spans="2:14" x14ac:dyDescent="0.35">
      <c r="B23" s="9"/>
      <c r="C23" s="9"/>
      <c r="D23" s="11"/>
      <c r="E23" s="12"/>
      <c r="F23" s="12"/>
      <c r="G23" s="42"/>
      <c r="H23" s="9"/>
      <c r="I23" s="9"/>
      <c r="J23" s="10" t="s">
        <v>22</v>
      </c>
      <c r="K23" s="38" t="e">
        <f>K22*D22</f>
        <v>#VALUE!</v>
      </c>
    </row>
    <row r="24" spans="2:14" x14ac:dyDescent="0.35">
      <c r="B24" s="9"/>
      <c r="C24" s="9"/>
      <c r="D24" s="9"/>
      <c r="E24" s="9"/>
      <c r="F24" s="9"/>
      <c r="G24" s="42"/>
      <c r="H24" s="9"/>
      <c r="I24" s="9"/>
      <c r="J24" s="9"/>
    </row>
    <row r="25" spans="2:14" x14ac:dyDescent="0.35">
      <c r="B25" s="61" t="s">
        <v>23</v>
      </c>
      <c r="C25" s="49"/>
      <c r="D25" s="49"/>
      <c r="E25" s="49"/>
      <c r="F25" s="49"/>
      <c r="G25" s="49"/>
      <c r="H25" s="49"/>
      <c r="I25" s="49"/>
      <c r="J25" s="49"/>
      <c r="K25" s="50"/>
    </row>
    <row r="26" spans="2:14" x14ac:dyDescent="0.35">
      <c r="B26" s="1"/>
      <c r="J26" s="35" t="str">
        <f>B6</f>
        <v>01 - SOLD PROPERTIES IN STREET, COMPLEX OR ESTATE</v>
      </c>
      <c r="K26" s="36" t="str">
        <f>K11</f>
        <v/>
      </c>
    </row>
    <row r="27" spans="2:14" x14ac:dyDescent="0.35">
      <c r="B27" s="1"/>
      <c r="J27" s="27" t="str">
        <f>B13</f>
        <v>02 - SOLD PROPERTIES IN SUBURB AND SURROUNDING AREA</v>
      </c>
      <c r="K27" s="33" t="str">
        <f>K18</f>
        <v/>
      </c>
    </row>
    <row r="28" spans="2:14" ht="15" customHeight="1" thickBot="1" x14ac:dyDescent="0.4">
      <c r="B28" s="1"/>
      <c r="J28" s="37" t="str">
        <f>B20</f>
        <v>03 - SOLD LAND IN SUBURB AND SURROUNDING AREA - AVERAGE ERF PER SQUARE METER</v>
      </c>
      <c r="K28" s="45" t="e">
        <f>K23</f>
        <v>#VALUE!</v>
      </c>
    </row>
    <row r="29" spans="2:14" ht="15" customHeight="1" thickTop="1" x14ac:dyDescent="0.35">
      <c r="K29" s="34" t="e">
        <f>AVERAGEIFS(K26:K28, K26:K28, "&gt;=1")</f>
        <v>#DIV/0!</v>
      </c>
    </row>
    <row r="31" spans="2:14" ht="31.5" customHeight="1" x14ac:dyDescent="0.35">
      <c r="B31" s="26"/>
      <c r="C31" s="56" t="s">
        <v>24</v>
      </c>
      <c r="D31" s="57"/>
      <c r="E31" s="57"/>
      <c r="F31" s="57"/>
      <c r="G31" s="58"/>
      <c r="H31" s="57"/>
      <c r="I31" s="57"/>
      <c r="J31" s="57"/>
      <c r="K31" s="59"/>
    </row>
    <row r="32" spans="2:14" x14ac:dyDescent="0.35">
      <c r="D32" s="6"/>
      <c r="E32" s="46">
        <v>0.98</v>
      </c>
      <c r="J32" s="8" t="s">
        <v>25</v>
      </c>
      <c r="K32" s="47" t="e">
        <f>K29*E32</f>
        <v>#DIV/0!</v>
      </c>
    </row>
    <row r="33" spans="2:11" x14ac:dyDescent="0.35">
      <c r="D33" s="6"/>
      <c r="E33" s="46">
        <v>1.02</v>
      </c>
      <c r="J33" s="8" t="s">
        <v>26</v>
      </c>
      <c r="K33" s="47" t="e">
        <f>K29*E33</f>
        <v>#DIV/0!</v>
      </c>
    </row>
    <row r="34" spans="2:11" x14ac:dyDescent="0.35">
      <c r="I34" s="6" t="s">
        <v>27</v>
      </c>
      <c r="J34" s="40">
        <v>8.0500000000000002E-2</v>
      </c>
      <c r="K34" s="25" t="e">
        <f>K33*J34</f>
        <v>#DIV/0!</v>
      </c>
    </row>
    <row r="35" spans="2:11" x14ac:dyDescent="0.35">
      <c r="J35" s="8" t="s">
        <v>28</v>
      </c>
      <c r="K35" s="39" t="e">
        <f>K33-K34</f>
        <v>#DIV/0!</v>
      </c>
    </row>
    <row r="36" spans="2:11" x14ac:dyDescent="0.35">
      <c r="J36" s="8"/>
      <c r="K36" s="39"/>
    </row>
    <row r="37" spans="2:11" s="1" customFormat="1" x14ac:dyDescent="0.35">
      <c r="B37" s="64" t="s">
        <v>29</v>
      </c>
      <c r="C37" s="49"/>
      <c r="D37" s="49"/>
      <c r="E37" s="49"/>
      <c r="F37" s="49"/>
      <c r="G37" s="49"/>
      <c r="H37" s="49"/>
      <c r="I37" s="49"/>
      <c r="J37" s="49"/>
      <c r="K37" s="50"/>
    </row>
    <row r="38" spans="2:11" ht="24.65" customHeight="1" x14ac:dyDescent="0.35">
      <c r="B38" s="2" t="s">
        <v>4</v>
      </c>
      <c r="C38" s="2" t="s">
        <v>5</v>
      </c>
      <c r="D38" s="2" t="s">
        <v>30</v>
      </c>
      <c r="E38" s="5" t="s">
        <v>31</v>
      </c>
      <c r="F38" s="62" t="s">
        <v>32</v>
      </c>
      <c r="G38" s="50"/>
      <c r="H38" s="7" t="s">
        <v>10</v>
      </c>
      <c r="I38" s="7" t="s">
        <v>11</v>
      </c>
      <c r="J38" s="7" t="s">
        <v>12</v>
      </c>
      <c r="K38" s="15" t="s">
        <v>13</v>
      </c>
    </row>
    <row r="39" spans="2:11" x14ac:dyDescent="0.35">
      <c r="C39" s="3"/>
      <c r="D39" s="23" t="e">
        <f>K39/E39</f>
        <v>#DIV/0!</v>
      </c>
      <c r="E39" s="17"/>
      <c r="F39" s="63"/>
      <c r="G39" s="50"/>
      <c r="H39" s="17"/>
      <c r="I39" s="17"/>
      <c r="J39" s="17"/>
      <c r="K39" s="29"/>
    </row>
    <row r="40" spans="2:11" x14ac:dyDescent="0.35">
      <c r="B40" s="3"/>
      <c r="C40" s="3"/>
      <c r="D40" s="23" t="e">
        <f>K40/E40</f>
        <v>#DIV/0!</v>
      </c>
      <c r="E40" s="17"/>
      <c r="F40" s="63"/>
      <c r="G40" s="50"/>
      <c r="H40" s="17"/>
      <c r="I40" s="17"/>
      <c r="J40" s="17"/>
      <c r="K40" s="29"/>
    </row>
    <row r="41" spans="2:11" x14ac:dyDescent="0.35">
      <c r="B41" s="3"/>
      <c r="C41" s="3"/>
      <c r="D41" s="23" t="e">
        <f>K41/E41</f>
        <v>#DIV/0!</v>
      </c>
      <c r="E41" s="17"/>
      <c r="F41" s="63"/>
      <c r="G41" s="50"/>
      <c r="H41" s="17"/>
      <c r="I41" s="17"/>
      <c r="J41" s="17"/>
      <c r="K41" s="29"/>
    </row>
    <row r="42" spans="2:11" x14ac:dyDescent="0.35">
      <c r="C42" s="20"/>
      <c r="E42" s="21"/>
      <c r="F42" s="21"/>
      <c r="G42" s="22"/>
      <c r="H42" s="55" t="s">
        <v>14</v>
      </c>
      <c r="I42" s="49"/>
      <c r="J42" s="50"/>
      <c r="K42" s="41" t="e">
        <f>AVERAGE(K39:K41)</f>
        <v>#DIV/0!</v>
      </c>
    </row>
  </sheetData>
  <mergeCells count="16">
    <mergeCell ref="C31:K31"/>
    <mergeCell ref="H42:J42"/>
    <mergeCell ref="B2:K2"/>
    <mergeCell ref="B25:K25"/>
    <mergeCell ref="F38:G38"/>
    <mergeCell ref="F39:G39"/>
    <mergeCell ref="F40:G40"/>
    <mergeCell ref="F41:G41"/>
    <mergeCell ref="B37:K37"/>
    <mergeCell ref="B1:K1"/>
    <mergeCell ref="B13:K13"/>
    <mergeCell ref="B20:K20"/>
    <mergeCell ref="B6:K6"/>
    <mergeCell ref="C4:K4"/>
    <mergeCell ref="H11:J11"/>
    <mergeCell ref="H18:J18"/>
  </mergeCells>
  <conditionalFormatting sqref="M8:M10">
    <cfRule type="expression" dxfId="3" priority="10">
      <formula>M8&gt;$M$8:$M$10*1.4</formula>
    </cfRule>
    <cfRule type="expression" dxfId="2" priority="11">
      <formula>M8&lt;$M$8:$M$10*0.6</formula>
    </cfRule>
  </conditionalFormatting>
  <conditionalFormatting sqref="M15:M17">
    <cfRule type="expression" dxfId="1" priority="16">
      <formula>M15&gt;$M$15:$M$17*1.4</formula>
    </cfRule>
    <cfRule type="expression" dxfId="0" priority="17">
      <formula>M15&lt;$M$15:$M$17*0.6</formula>
    </cfRule>
  </conditionalFormatting>
  <printOptions horizontalCentered="1"/>
  <pageMargins left="0.31496062992125978" right="0.31496062992125978" top="0.35433070866141742" bottom="0.35433070866141742" header="0.31496062992125978" footer="0.31496062992125978"/>
  <pageSetup paperSize="9" scale="78"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Sheet5</vt:lpstr>
      <vt:lpstr>Sheet5!Print_Area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Angelique Schutte</dc:creator>
  <cp:lastModifiedBy>Janus De jonge</cp:lastModifiedBy>
  <cp:lastPrinted>2023-08-10T13:02:12Z</cp:lastPrinted>
  <dcterms:created xsi:type="dcterms:W3CDTF">2016-12-09T09:50:52Z</dcterms:created>
  <dcterms:modified xsi:type="dcterms:W3CDTF">2026-02-22T18:44:53Z</dcterms:modified>
</cp:coreProperties>
</file>